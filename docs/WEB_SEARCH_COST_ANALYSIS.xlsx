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priyalex/Documents/projects/fanduel/ncaa-blog-agent/docs/"/>
    </mc:Choice>
  </mc:AlternateContent>
  <xr:revisionPtr revIDLastSave="0" documentId="13_ncr:1_{8940D3AB-E122-C948-8C5F-7B64B3B5B0F7}" xr6:coauthVersionLast="47" xr6:coauthVersionMax="47" xr10:uidLastSave="{00000000-0000-0000-0000-000000000000}"/>
  <bookViews>
    <workbookView xWindow="4740" yWindow="940" windowWidth="30240" windowHeight="19640" activeTab="1" xr2:uid="{00000000-000D-0000-FFFF-FFFF00000000}"/>
  </bookViews>
  <sheets>
    <sheet name="Cost Calculator" sheetId="1" r:id="rId1"/>
    <sheet name="Mis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6" i="1" s="1"/>
  <c r="B25" i="1" s="1"/>
  <c r="B50" i="1"/>
  <c r="C45" i="1"/>
  <c r="C44" i="1"/>
  <c r="C43" i="1"/>
  <c r="C42" i="1"/>
  <c r="C41" i="1"/>
  <c r="C40" i="1"/>
  <c r="B7" i="1"/>
  <c r="B24" i="1" s="1"/>
  <c r="B26" i="1" l="1"/>
  <c r="B49" i="1" s="1"/>
  <c r="B19" i="1"/>
  <c r="D42" i="1" l="1"/>
  <c r="D43" i="1"/>
  <c r="D44" i="1"/>
  <c r="E44" i="1" s="1"/>
  <c r="B54" i="1" s="1"/>
  <c r="D45" i="1"/>
  <c r="E45" i="1" s="1"/>
  <c r="B55" i="1" s="1"/>
  <c r="D41" i="1"/>
  <c r="E41" i="1" s="1"/>
  <c r="B51" i="1" s="1"/>
  <c r="E43" i="1"/>
  <c r="B53" i="1" s="1"/>
  <c r="B40" i="1"/>
  <c r="E42" i="1"/>
  <c r="B52" i="1" s="1"/>
</calcChain>
</file>

<file path=xl/sharedStrings.xml><?xml version="1.0" encoding="utf-8"?>
<sst xmlns="http://schemas.openxmlformats.org/spreadsheetml/2006/main" count="118" uniqueCount="88">
  <si>
    <t>USE CASE 1: Blog Discovery Engine</t>
  </si>
  <si>
    <t>Parameter</t>
  </si>
  <si>
    <t>Value</t>
  </si>
  <si>
    <t>Unit</t>
  </si>
  <si>
    <t>Number of teams</t>
  </si>
  <si>
    <t>teams</t>
  </si>
  <si>
    <t>Web searches per team per run</t>
  </si>
  <si>
    <t>searches</t>
  </si>
  <si>
    <t>Runs per month</t>
  </si>
  <si>
    <t>runs</t>
  </si>
  <si>
    <t>Total web searches per month (Use Case 1)</t>
  </si>
  <si>
    <t>searches/month</t>
  </si>
  <si>
    <t>USE CASE 2: Blog Search Agent</t>
  </si>
  <si>
    <t>Total web searches per month (Use Case 2)</t>
  </si>
  <si>
    <t>COMBINED TOTALS</t>
  </si>
  <si>
    <t>Total web searches per month (both use cases)</t>
  </si>
  <si>
    <t>AGENTCORE WEB SEARCH COST</t>
  </si>
  <si>
    <t>Cost per 1,000 queries</t>
  </si>
  <si>
    <t>$/1000 queries</t>
  </si>
  <si>
    <t>Use Case 1 monthly cost</t>
  </si>
  <si>
    <t>Use Case 2 monthly cost</t>
  </si>
  <si>
    <t>Total AgentCore monthly cost</t>
  </si>
  <si>
    <t>TAVILY COST ANALYSIS</t>
  </si>
  <si>
    <t>Plan</t>
  </si>
  <si>
    <t>Credits/month</t>
  </si>
  <si>
    <t>Monthly Price</t>
  </si>
  <si>
    <t>Researcher (Free)</t>
  </si>
  <si>
    <t>N/A</t>
  </si>
  <si>
    <t>Project</t>
  </si>
  <si>
    <t>Bootstrap</t>
  </si>
  <si>
    <t>Startup</t>
  </si>
  <si>
    <t>Growth</t>
  </si>
  <si>
    <t>Pay-as-you-go</t>
  </si>
  <si>
    <t>TAVILY MONTHLY COST BY PLAN (based on total searches)</t>
  </si>
  <si>
    <t>Credits per request (advanced search)</t>
  </si>
  <si>
    <t>Applicable?</t>
  </si>
  <si>
    <t>Base Cost</t>
  </si>
  <si>
    <t>N/A (hard cap)</t>
  </si>
  <si>
    <t>Yes (unlimited)</t>
  </si>
  <si>
    <t>SUMMARY COMPARISON</t>
  </si>
  <si>
    <t>Provider</t>
  </si>
  <si>
    <t>Monthly Cost</t>
  </si>
  <si>
    <t>AgentCore Web Search (pay-as-you-go)</t>
  </si>
  <si>
    <t>Overage Rate</t>
  </si>
  <si>
    <t>Excess Credits Used</t>
  </si>
  <si>
    <t>Tavily Pay-as-you-go</t>
  </si>
  <si>
    <t>Tavily Researcher (Free)</t>
  </si>
  <si>
    <t>Tavily Project</t>
  </si>
  <si>
    <t>Tavily Bootstrap</t>
  </si>
  <si>
    <t>Tavily Startup</t>
  </si>
  <si>
    <t>Tavily Growth</t>
  </si>
  <si>
    <t>Run cadence (min)</t>
  </si>
  <si>
    <t>Note: overage rate is cost per excess credit used</t>
  </si>
  <si>
    <t xml:space="preserve">Note: # searches depends on what results the agent found in the previous attempts. If all urls are inaccessible, it might look for more. </t>
  </si>
  <si>
    <t>Rate Limits</t>
  </si>
  <si>
    <t>Metric</t>
  </si>
  <si>
    <t>AgentCore Web Search</t>
  </si>
  <si>
    <t>Tavily</t>
  </si>
  <si>
    <t>Default rate limit</t>
  </si>
  <si>
    <t>10 transactions per second (adjustable via Service Quotas)</t>
  </si>
  <si>
    <t>100 RPM (dev) / 1,000 RPM (prod)</t>
  </si>
  <si>
    <t>Can increase?</t>
  </si>
  <si>
    <t>Yes (AWS Service Quotas)</t>
  </si>
  <si>
    <t>Enterprise plan (custom)</t>
  </si>
  <si>
    <t>Max results per query</t>
  </si>
  <si>
    <t>Index Freshness &amp; Quality</t>
  </si>
  <si>
    <t>Search source</t>
  </si>
  <si>
    <t>Amazon’s purpose-built web index + Amazon Knowledge Graph</t>
  </si>
  <si>
    <t>Tavily’s proprietary index</t>
  </si>
  <si>
    <t>Freshness claim</t>
  </si>
  <si>
    <t>“refreshed within minutes” (per AWS blog); “tens of billions of documents”</t>
  </si>
  <si>
    <t>Not publicly disclosed</t>
  </si>
  <si>
    <t>LLM-optimized output</t>
  </si>
  <si>
    <t>Yes — semantic snippets, URLs, titles, publication dates</t>
  </si>
  <si>
    <t>Yes — optimized for LLM consumption</t>
  </si>
  <si>
    <t>Result format</t>
  </si>
  <si>
    <t>Structured JSON via MCP (snippets + URLs + dates)</t>
  </si>
  <si>
    <t>Structured JSON (snippets + URLs + scores)</t>
  </si>
  <si>
    <t>Data Residency &amp; Security</t>
  </si>
  <si>
    <t>Data stays in AWS</t>
  </si>
  <si>
    <t>API key management</t>
  </si>
  <si>
    <t>None — uses IAM role (GATEWAY_IAM_ROLE)</t>
  </si>
  <si>
    <t>Requires API key stored in Secrets Manager</t>
  </si>
  <si>
    <t>Enterprise governance</t>
  </si>
  <si>
    <t>Full AWS IAM, CloudTrail, VPC support</t>
  </si>
  <si>
    <t>SOC 2 compliant (per trust center)</t>
  </si>
  <si>
    <r>
      <t>✅</t>
    </r>
    <r>
      <rPr>
        <sz val="12"/>
        <color theme="1"/>
        <rFont val="Aptos"/>
      </rPr>
      <t xml:space="preserve"> Yes — zero data egress</t>
    </r>
  </si>
  <si>
    <r>
      <t>❌</t>
    </r>
    <r>
      <rPr>
        <sz val="12"/>
        <color theme="1"/>
        <rFont val="Aptos"/>
      </rPr>
      <t xml:space="preserve"> No — queries sent to external API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</si>
</sst>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.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6"/>
      <color rgb="FF0F4761"/>
      <name val="Arial"/>
      <family val="2"/>
    </font>
    <font>
      <sz val="12"/>
      <color theme="1"/>
      <name val="Aptos"/>
    </font>
    <font>
      <sz val="12"/>
      <color theme="1"/>
      <name val="Apple Color Emoji"/>
    </font>
    <font>
      <b/>
      <sz val="12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86FFA6"/>
        <bgColor rgb="FFCCFFCC"/>
      </patternFill>
    </fill>
    <fill>
      <patternFill patternType="solid">
        <fgColor rgb="FF86FFA6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3" fillId="0" borderId="0" xfId="0" applyFont="1" applyBorder="1"/>
    <xf numFmtId="164" fontId="4" fillId="0" borderId="0" xfId="0" applyNumberFormat="1" applyFont="1" applyFill="1" applyBorder="1"/>
    <xf numFmtId="0" fontId="0" fillId="0" borderId="0" xfId="0" applyBorder="1"/>
    <xf numFmtId="0" fontId="0" fillId="0" borderId="0" xfId="0" applyFill="1"/>
    <xf numFmtId="164" fontId="4" fillId="4" borderId="1" xfId="0" applyNumberFormat="1" applyFont="1" applyFill="1" applyBorder="1"/>
    <xf numFmtId="0" fontId="0" fillId="5" borderId="2" xfId="0" applyFill="1" applyBorder="1"/>
    <xf numFmtId="164" fontId="0" fillId="5" borderId="2" xfId="0" applyNumberForma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right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FF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zoomScale="120" zoomScaleNormal="120" workbookViewId="0">
      <selection activeCell="E25" sqref="E25"/>
    </sheetView>
  </sheetViews>
  <sheetFormatPr baseColWidth="10" defaultColWidth="8.83203125" defaultRowHeight="15" x14ac:dyDescent="0.2"/>
  <cols>
    <col min="1" max="1" width="45" customWidth="1"/>
    <col min="2" max="2" width="20" customWidth="1"/>
    <col min="3" max="3" width="15" customWidth="1"/>
    <col min="4" max="4" width="27.1640625" customWidth="1"/>
    <col min="5" max="5" width="25" customWidth="1"/>
    <col min="6" max="6" width="20" customWidth="1"/>
  </cols>
  <sheetData>
    <row r="1" spans="1:4" ht="19" x14ac:dyDescent="0.25">
      <c r="A1" s="1" t="s">
        <v>0</v>
      </c>
    </row>
    <row r="2" spans="1:4" ht="16" x14ac:dyDescent="0.2">
      <c r="A2" s="2" t="s">
        <v>1</v>
      </c>
      <c r="B2" s="2" t="s">
        <v>2</v>
      </c>
      <c r="C2" s="2" t="s">
        <v>3</v>
      </c>
    </row>
    <row r="3" spans="1:4" x14ac:dyDescent="0.2">
      <c r="A3" t="s">
        <v>4</v>
      </c>
      <c r="B3" s="3">
        <v>360</v>
      </c>
      <c r="C3" t="s">
        <v>5</v>
      </c>
    </row>
    <row r="4" spans="1:4" x14ac:dyDescent="0.2">
      <c r="A4" t="s">
        <v>6</v>
      </c>
      <c r="B4" s="3">
        <v>5</v>
      </c>
      <c r="C4" t="s">
        <v>7</v>
      </c>
      <c r="D4" t="s">
        <v>53</v>
      </c>
    </row>
    <row r="5" spans="1:4" x14ac:dyDescent="0.2">
      <c r="A5" t="s">
        <v>8</v>
      </c>
      <c r="B5" s="3">
        <v>4</v>
      </c>
      <c r="C5" t="s">
        <v>9</v>
      </c>
    </row>
    <row r="7" spans="1:4" x14ac:dyDescent="0.2">
      <c r="A7" t="s">
        <v>10</v>
      </c>
      <c r="B7" s="4">
        <f>B3*B4*B5</f>
        <v>7200</v>
      </c>
      <c r="C7" t="s">
        <v>11</v>
      </c>
    </row>
    <row r="9" spans="1:4" ht="19" x14ac:dyDescent="0.25">
      <c r="A9" s="1" t="s">
        <v>12</v>
      </c>
    </row>
    <row r="10" spans="1:4" ht="16" x14ac:dyDescent="0.2">
      <c r="A10" s="2" t="s">
        <v>1</v>
      </c>
      <c r="B10" s="2" t="s">
        <v>2</v>
      </c>
      <c r="C10" s="2" t="s">
        <v>3</v>
      </c>
    </row>
    <row r="11" spans="1:4" x14ac:dyDescent="0.2">
      <c r="A11" t="s">
        <v>4</v>
      </c>
      <c r="B11" s="3">
        <v>360</v>
      </c>
      <c r="C11" t="s">
        <v>5</v>
      </c>
    </row>
    <row r="12" spans="1:4" x14ac:dyDescent="0.2">
      <c r="A12" t="s">
        <v>6</v>
      </c>
      <c r="B12" s="3">
        <v>5</v>
      </c>
      <c r="C12" t="s">
        <v>7</v>
      </c>
    </row>
    <row r="13" spans="1:4" x14ac:dyDescent="0.2">
      <c r="A13" t="s">
        <v>51</v>
      </c>
      <c r="B13" s="3">
        <v>120</v>
      </c>
    </row>
    <row r="14" spans="1:4" x14ac:dyDescent="0.2">
      <c r="A14" t="s">
        <v>8</v>
      </c>
      <c r="B14" s="3">
        <f>30*24*60/B13</f>
        <v>360</v>
      </c>
      <c r="C14" t="s">
        <v>9</v>
      </c>
    </row>
    <row r="16" spans="1:4" x14ac:dyDescent="0.2">
      <c r="A16" t="s">
        <v>13</v>
      </c>
      <c r="B16" s="16">
        <f>B11*B12*B14</f>
        <v>648000</v>
      </c>
      <c r="C16" t="s">
        <v>11</v>
      </c>
    </row>
    <row r="18" spans="1:5" ht="19" x14ac:dyDescent="0.25">
      <c r="A18" s="1" t="s">
        <v>14</v>
      </c>
    </row>
    <row r="19" spans="1:5" x14ac:dyDescent="0.2">
      <c r="A19" t="s">
        <v>15</v>
      </c>
      <c r="B19" s="16">
        <f>B7+B16</f>
        <v>655200</v>
      </c>
      <c r="C19" t="s">
        <v>11</v>
      </c>
    </row>
    <row r="21" spans="1:5" ht="19" x14ac:dyDescent="0.25">
      <c r="A21" s="1" t="s">
        <v>16</v>
      </c>
    </row>
    <row r="22" spans="1:5" x14ac:dyDescent="0.2">
      <c r="A22" t="s">
        <v>17</v>
      </c>
      <c r="B22" s="3">
        <v>7</v>
      </c>
      <c r="C22" t="s">
        <v>18</v>
      </c>
    </row>
    <row r="24" spans="1:5" x14ac:dyDescent="0.2">
      <c r="A24" t="s">
        <v>19</v>
      </c>
      <c r="B24" s="13">
        <f>(B7/1000)*B22</f>
        <v>50.4</v>
      </c>
    </row>
    <row r="25" spans="1:5" x14ac:dyDescent="0.2">
      <c r="A25" t="s">
        <v>20</v>
      </c>
      <c r="B25" s="13">
        <f>(B16/1000)*B22</f>
        <v>4536</v>
      </c>
    </row>
    <row r="26" spans="1:5" x14ac:dyDescent="0.2">
      <c r="A26" t="s">
        <v>21</v>
      </c>
      <c r="B26" s="13">
        <f>B24+B25</f>
        <v>4586.3999999999996</v>
      </c>
    </row>
    <row r="28" spans="1:5" ht="19" x14ac:dyDescent="0.25">
      <c r="A28" s="1" t="s">
        <v>22</v>
      </c>
    </row>
    <row r="29" spans="1:5" ht="16" x14ac:dyDescent="0.2">
      <c r="A29" s="2" t="s">
        <v>23</v>
      </c>
      <c r="B29" s="2" t="s">
        <v>24</v>
      </c>
      <c r="C29" s="2" t="s">
        <v>25</v>
      </c>
      <c r="D29" s="2" t="s">
        <v>43</v>
      </c>
      <c r="E29" s="2" t="s">
        <v>52</v>
      </c>
    </row>
    <row r="30" spans="1:5" x14ac:dyDescent="0.2">
      <c r="A30" t="s">
        <v>26</v>
      </c>
      <c r="B30" s="5">
        <v>1000</v>
      </c>
      <c r="C30" s="6">
        <v>0</v>
      </c>
      <c r="D30" s="5" t="s">
        <v>27</v>
      </c>
    </row>
    <row r="31" spans="1:5" x14ac:dyDescent="0.2">
      <c r="A31" t="s">
        <v>28</v>
      </c>
      <c r="B31" s="5">
        <v>4000</v>
      </c>
      <c r="C31" s="6">
        <v>30</v>
      </c>
      <c r="D31" s="7">
        <v>7.4999999999999997E-3</v>
      </c>
    </row>
    <row r="32" spans="1:5" x14ac:dyDescent="0.2">
      <c r="A32" t="s">
        <v>29</v>
      </c>
      <c r="B32" s="5">
        <v>15000</v>
      </c>
      <c r="C32" s="6">
        <v>100</v>
      </c>
      <c r="D32" s="7">
        <v>6.7000000000000002E-3</v>
      </c>
    </row>
    <row r="33" spans="1:6" x14ac:dyDescent="0.2">
      <c r="A33" t="s">
        <v>30</v>
      </c>
      <c r="B33" s="5">
        <v>38000</v>
      </c>
      <c r="C33" s="6">
        <v>220</v>
      </c>
      <c r="D33" s="7">
        <v>5.7999999999999996E-3</v>
      </c>
    </row>
    <row r="34" spans="1:6" x14ac:dyDescent="0.2">
      <c r="A34" t="s">
        <v>31</v>
      </c>
      <c r="B34" s="5">
        <v>100000</v>
      </c>
      <c r="C34" s="6">
        <v>500</v>
      </c>
      <c r="D34" s="7">
        <v>5.0000000000000001E-3</v>
      </c>
    </row>
    <row r="35" spans="1:6" x14ac:dyDescent="0.2">
      <c r="A35" t="s">
        <v>32</v>
      </c>
      <c r="B35" s="5">
        <v>0</v>
      </c>
      <c r="C35" s="6">
        <v>0</v>
      </c>
      <c r="D35" s="7">
        <v>8.0000000000000002E-3</v>
      </c>
    </row>
    <row r="37" spans="1:6" ht="19" x14ac:dyDescent="0.25">
      <c r="A37" s="1" t="s">
        <v>33</v>
      </c>
    </row>
    <row r="38" spans="1:6" x14ac:dyDescent="0.2">
      <c r="A38" t="s">
        <v>34</v>
      </c>
      <c r="B38" s="3">
        <v>1</v>
      </c>
    </row>
    <row r="39" spans="1:6" ht="16" x14ac:dyDescent="0.2">
      <c r="A39" s="2" t="s">
        <v>23</v>
      </c>
      <c r="B39" s="2" t="s">
        <v>35</v>
      </c>
      <c r="C39" s="2" t="s">
        <v>36</v>
      </c>
      <c r="D39" s="2" t="s">
        <v>44</v>
      </c>
      <c r="E39" s="2" t="s">
        <v>41</v>
      </c>
      <c r="F39" s="9"/>
    </row>
    <row r="40" spans="1:6" x14ac:dyDescent="0.2">
      <c r="A40" t="s">
        <v>26</v>
      </c>
      <c r="B40" s="5" t="str">
        <f>IF(B19&gt;(B30/B38),"No (credit limit exceeded)","Yes")</f>
        <v>No (credit limit exceeded)</v>
      </c>
      <c r="C40" s="6">
        <f t="shared" ref="C40:C45" si="0">C30</f>
        <v>0</v>
      </c>
      <c r="D40" s="5" t="s">
        <v>37</v>
      </c>
      <c r="E40" s="14" t="s">
        <v>37</v>
      </c>
      <c r="F40" s="10"/>
    </row>
    <row r="41" spans="1:6" x14ac:dyDescent="0.2">
      <c r="A41" t="s">
        <v>28</v>
      </c>
      <c r="B41" s="5" t="s">
        <v>38</v>
      </c>
      <c r="C41" s="6">
        <f t="shared" si="0"/>
        <v>30</v>
      </c>
      <c r="D41" s="8">
        <f>MAX(0, $B$19*$B$38-(B31/$B$38))</f>
        <v>651200</v>
      </c>
      <c r="E41" s="15">
        <f>D41*D31*B38</f>
        <v>4884</v>
      </c>
      <c r="F41" s="10"/>
    </row>
    <row r="42" spans="1:6" x14ac:dyDescent="0.2">
      <c r="A42" t="s">
        <v>29</v>
      </c>
      <c r="B42" s="5" t="s">
        <v>38</v>
      </c>
      <c r="C42" s="6">
        <f t="shared" si="0"/>
        <v>100</v>
      </c>
      <c r="D42" s="8">
        <f t="shared" ref="D42:D45" si="1">MAX(0, $B$19*$B$38-(B32/$B$38))</f>
        <v>640200</v>
      </c>
      <c r="E42" s="15">
        <f>D42*D32*B38</f>
        <v>4289.34</v>
      </c>
      <c r="F42" s="10"/>
    </row>
    <row r="43" spans="1:6" x14ac:dyDescent="0.2">
      <c r="A43" t="s">
        <v>30</v>
      </c>
      <c r="B43" s="5" t="s">
        <v>38</v>
      </c>
      <c r="C43" s="6">
        <f t="shared" si="0"/>
        <v>220</v>
      </c>
      <c r="D43" s="8">
        <f t="shared" si="1"/>
        <v>617200</v>
      </c>
      <c r="E43" s="15">
        <f>D43*D33*B38</f>
        <v>3579.7599999999998</v>
      </c>
      <c r="F43" s="10"/>
    </row>
    <row r="44" spans="1:6" x14ac:dyDescent="0.2">
      <c r="A44" t="s">
        <v>31</v>
      </c>
      <c r="B44" s="5" t="s">
        <v>38</v>
      </c>
      <c r="C44" s="6">
        <f t="shared" si="0"/>
        <v>500</v>
      </c>
      <c r="D44" s="8">
        <f t="shared" si="1"/>
        <v>555200</v>
      </c>
      <c r="E44" s="15">
        <f>D44*D34*B38</f>
        <v>2776</v>
      </c>
      <c r="F44" s="10"/>
    </row>
    <row r="45" spans="1:6" x14ac:dyDescent="0.2">
      <c r="A45" t="s">
        <v>32</v>
      </c>
      <c r="B45" s="5" t="s">
        <v>38</v>
      </c>
      <c r="C45" s="6">
        <f t="shared" si="0"/>
        <v>0</v>
      </c>
      <c r="D45" s="8">
        <f t="shared" si="1"/>
        <v>655200</v>
      </c>
      <c r="E45" s="15">
        <f>D45*D35*B38</f>
        <v>5241.6000000000004</v>
      </c>
      <c r="F45" s="10"/>
    </row>
    <row r="46" spans="1:6" x14ac:dyDescent="0.2">
      <c r="E46" s="12"/>
      <c r="F46" s="11"/>
    </row>
    <row r="47" spans="1:6" ht="19" x14ac:dyDescent="0.25">
      <c r="A47" s="1" t="s">
        <v>39</v>
      </c>
    </row>
    <row r="48" spans="1:6" ht="16" x14ac:dyDescent="0.2">
      <c r="A48" s="2" t="s">
        <v>40</v>
      </c>
      <c r="B48" s="2" t="s">
        <v>41</v>
      </c>
    </row>
    <row r="49" spans="1:2" x14ac:dyDescent="0.2">
      <c r="A49" t="s">
        <v>42</v>
      </c>
      <c r="B49" s="17">
        <f>B26</f>
        <v>4586.3999999999996</v>
      </c>
    </row>
    <row r="50" spans="1:2" x14ac:dyDescent="0.2">
      <c r="A50" t="s">
        <v>46</v>
      </c>
      <c r="B50" s="17" t="str">
        <f>E40</f>
        <v>N/A (hard cap)</v>
      </c>
    </row>
    <row r="51" spans="1:2" x14ac:dyDescent="0.2">
      <c r="A51" t="s">
        <v>47</v>
      </c>
      <c r="B51" s="17">
        <f t="shared" ref="B51:B55" si="2">E41</f>
        <v>4884</v>
      </c>
    </row>
    <row r="52" spans="1:2" x14ac:dyDescent="0.2">
      <c r="A52" t="s">
        <v>48</v>
      </c>
      <c r="B52" s="17">
        <f t="shared" si="2"/>
        <v>4289.34</v>
      </c>
    </row>
    <row r="53" spans="1:2" x14ac:dyDescent="0.2">
      <c r="A53" t="s">
        <v>49</v>
      </c>
      <c r="B53" s="17">
        <f t="shared" si="2"/>
        <v>3579.7599999999998</v>
      </c>
    </row>
    <row r="54" spans="1:2" x14ac:dyDescent="0.2">
      <c r="A54" t="s">
        <v>50</v>
      </c>
      <c r="B54" s="17">
        <f t="shared" si="2"/>
        <v>2776</v>
      </c>
    </row>
    <row r="55" spans="1:2" x14ac:dyDescent="0.2">
      <c r="A55" t="s">
        <v>45</v>
      </c>
      <c r="B55" s="17">
        <f t="shared" si="2"/>
        <v>5241.6000000000004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DD9B-32E3-2246-A81A-BFE7D62C249E}">
  <dimension ref="B3:D22"/>
  <sheetViews>
    <sheetView tabSelected="1" workbookViewId="0">
      <selection activeCell="C14" sqref="C14"/>
    </sheetView>
  </sheetViews>
  <sheetFormatPr baseColWidth="10" defaultRowHeight="16" x14ac:dyDescent="0.2"/>
  <cols>
    <col min="2" max="2" width="17.33203125" style="18" customWidth="1"/>
    <col min="3" max="3" width="49.83203125" style="18" customWidth="1"/>
    <col min="4" max="4" width="44.1640625" style="18" customWidth="1"/>
  </cols>
  <sheetData>
    <row r="3" spans="2:4" ht="20" x14ac:dyDescent="0.2">
      <c r="B3" s="23" t="s">
        <v>54</v>
      </c>
    </row>
    <row r="4" spans="2:4" ht="18" thickBot="1" x14ac:dyDescent="0.25">
      <c r="B4" s="22" t="s">
        <v>55</v>
      </c>
      <c r="C4" s="22" t="s">
        <v>56</v>
      </c>
      <c r="D4" s="22" t="s">
        <v>57</v>
      </c>
    </row>
    <row r="5" spans="2:4" ht="34" x14ac:dyDescent="0.2">
      <c r="B5" s="19" t="s">
        <v>58</v>
      </c>
      <c r="C5" s="21" t="s">
        <v>59</v>
      </c>
      <c r="D5" s="19" t="s">
        <v>60</v>
      </c>
    </row>
    <row r="6" spans="2:4" ht="34" x14ac:dyDescent="0.2">
      <c r="B6" s="19" t="s">
        <v>61</v>
      </c>
      <c r="C6" s="19" t="s">
        <v>62</v>
      </c>
      <c r="D6" s="19" t="s">
        <v>63</v>
      </c>
    </row>
    <row r="7" spans="2:4" ht="34" x14ac:dyDescent="0.2">
      <c r="B7" s="19" t="s">
        <v>64</v>
      </c>
      <c r="C7" s="19">
        <v>25</v>
      </c>
      <c r="D7" s="19">
        <v>20</v>
      </c>
    </row>
    <row r="10" spans="2:4" ht="20" x14ac:dyDescent="0.2">
      <c r="B10" s="23" t="s">
        <v>65</v>
      </c>
    </row>
    <row r="11" spans="2:4" ht="18" thickBot="1" x14ac:dyDescent="0.25">
      <c r="B11" s="22" t="s">
        <v>55</v>
      </c>
      <c r="C11" s="22" t="s">
        <v>56</v>
      </c>
      <c r="D11" s="22" t="s">
        <v>57</v>
      </c>
    </row>
    <row r="12" spans="2:4" ht="34" x14ac:dyDescent="0.2">
      <c r="B12" s="19" t="s">
        <v>66</v>
      </c>
      <c r="C12" s="19" t="s">
        <v>67</v>
      </c>
      <c r="D12" s="19" t="s">
        <v>68</v>
      </c>
    </row>
    <row r="13" spans="2:4" ht="34" x14ac:dyDescent="0.2">
      <c r="B13" s="19" t="s">
        <v>69</v>
      </c>
      <c r="C13" s="21" t="s">
        <v>70</v>
      </c>
      <c r="D13" s="19" t="s">
        <v>71</v>
      </c>
    </row>
    <row r="14" spans="2:4" ht="51" x14ac:dyDescent="0.2">
      <c r="B14" s="19" t="s">
        <v>72</v>
      </c>
      <c r="C14" s="19" t="s">
        <v>73</v>
      </c>
      <c r="D14" s="19" t="s">
        <v>74</v>
      </c>
    </row>
    <row r="15" spans="2:4" ht="34" x14ac:dyDescent="0.2">
      <c r="B15" s="19" t="s">
        <v>75</v>
      </c>
      <c r="C15" s="19" t="s">
        <v>76</v>
      </c>
      <c r="D15" s="19" t="s">
        <v>77</v>
      </c>
    </row>
    <row r="18" spans="2:4" ht="20" x14ac:dyDescent="0.2">
      <c r="B18" s="23" t="s">
        <v>78</v>
      </c>
    </row>
    <row r="19" spans="2:4" ht="18" thickBot="1" x14ac:dyDescent="0.25">
      <c r="B19" s="22" t="s">
        <v>55</v>
      </c>
      <c r="C19" s="22" t="s">
        <v>56</v>
      </c>
      <c r="D19" s="22" t="s">
        <v>57</v>
      </c>
    </row>
    <row r="20" spans="2:4" ht="34" x14ac:dyDescent="0.2">
      <c r="B20" s="19" t="s">
        <v>79</v>
      </c>
      <c r="C20" s="20" t="s">
        <v>86</v>
      </c>
      <c r="D20" s="20" t="s">
        <v>87</v>
      </c>
    </row>
    <row r="21" spans="2:4" ht="51" x14ac:dyDescent="0.2">
      <c r="B21" s="19" t="s">
        <v>80</v>
      </c>
      <c r="C21" s="19" t="s">
        <v>81</v>
      </c>
      <c r="D21" s="19" t="s">
        <v>82</v>
      </c>
    </row>
    <row r="22" spans="2:4" ht="51" x14ac:dyDescent="0.2">
      <c r="B22" s="19" t="s">
        <v>83</v>
      </c>
      <c r="C22" s="19" t="s">
        <v>84</v>
      </c>
      <c r="D22" s="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Calculator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Roy, Priyashree</cp:lastModifiedBy>
  <dcterms:created xsi:type="dcterms:W3CDTF">2026-06-24T18:25:19Z</dcterms:created>
  <dcterms:modified xsi:type="dcterms:W3CDTF">2026-06-24T18:54:01Z</dcterms:modified>
</cp:coreProperties>
</file>